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vtnl-my.sharepoint.com/personal/jeeuwijk_kvt_nl/Documents/Bureaublad/"/>
    </mc:Choice>
  </mc:AlternateContent>
  <xr:revisionPtr revIDLastSave="0" documentId="8_{59F1211C-F762-472F-BCB3-DC9CDCF7EF63}" xr6:coauthVersionLast="47" xr6:coauthVersionMax="47" xr10:uidLastSave="{00000000-0000-0000-0000-000000000000}"/>
  <bookViews>
    <workbookView xWindow="-108" yWindow="-108" windowWidth="23256" windowHeight="12456" xr2:uid="{ACFFA603-3967-4448-83EF-294854D20EF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M18" i="1"/>
  <c r="L18" i="1"/>
  <c r="J18" i="1"/>
  <c r="M7" i="1"/>
  <c r="M8" i="1"/>
  <c r="M9" i="1"/>
  <c r="M10" i="1"/>
  <c r="M11" i="1"/>
  <c r="M12" i="1"/>
  <c r="M13" i="1"/>
  <c r="M14" i="1"/>
  <c r="M15" i="1"/>
  <c r="M16" i="1"/>
  <c r="M17" i="1"/>
  <c r="M6" i="1"/>
  <c r="L7" i="1"/>
  <c r="L8" i="1"/>
  <c r="L9" i="1"/>
  <c r="L10" i="1"/>
  <c r="L11" i="1"/>
  <c r="L12" i="1"/>
  <c r="L13" i="1"/>
  <c r="L14" i="1"/>
  <c r="L15" i="1"/>
  <c r="L16" i="1"/>
  <c r="L17" i="1"/>
  <c r="L6" i="1"/>
  <c r="K7" i="1"/>
  <c r="K8" i="1"/>
  <c r="K9" i="1"/>
  <c r="K10" i="1"/>
  <c r="K11" i="1"/>
  <c r="K12" i="1"/>
  <c r="K13" i="1"/>
  <c r="K14" i="1"/>
  <c r="K15" i="1"/>
  <c r="K16" i="1"/>
  <c r="K17" i="1"/>
  <c r="K6" i="1"/>
  <c r="J8" i="1"/>
  <c r="J9" i="1"/>
  <c r="J10" i="1"/>
  <c r="J11" i="1"/>
  <c r="J12" i="1"/>
  <c r="J13" i="1"/>
  <c r="J14" i="1"/>
  <c r="J15" i="1"/>
  <c r="J16" i="1"/>
  <c r="J17" i="1"/>
  <c r="J7" i="1"/>
  <c r="J6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H16" i="1"/>
  <c r="I16" i="1"/>
  <c r="I17" i="1"/>
  <c r="I7" i="1"/>
  <c r="I6" i="1"/>
  <c r="H7" i="1"/>
  <c r="H6" i="1"/>
  <c r="G7" i="1"/>
  <c r="G6" i="1"/>
  <c r="F7" i="1"/>
  <c r="F8" i="1"/>
  <c r="F9" i="1"/>
  <c r="F10" i="1"/>
  <c r="F11" i="1"/>
  <c r="F12" i="1"/>
  <c r="F13" i="1"/>
  <c r="F14" i="1"/>
  <c r="F6" i="1"/>
</calcChain>
</file>

<file path=xl/sharedStrings.xml><?xml version="1.0" encoding="utf-8"?>
<sst xmlns="http://schemas.openxmlformats.org/spreadsheetml/2006/main" count="23" uniqueCount="23">
  <si>
    <t xml:space="preserve">Motor merk </t>
  </si>
  <si>
    <t>Motor type</t>
  </si>
  <si>
    <t>kVA</t>
  </si>
  <si>
    <t xml:space="preserve">Bouwjaar </t>
  </si>
  <si>
    <t>Perkins</t>
  </si>
  <si>
    <t>3012 TAG3a</t>
  </si>
  <si>
    <t xml:space="preserve">Jaar 1 </t>
  </si>
  <si>
    <t xml:space="preserve">Jaarlijks onderhoud </t>
  </si>
  <si>
    <t xml:space="preserve">Proefdraaien </t>
  </si>
  <si>
    <t xml:space="preserve">"0" inspectie </t>
  </si>
  <si>
    <t xml:space="preserve">Brandstoftank controle </t>
  </si>
  <si>
    <t>p/j</t>
  </si>
  <si>
    <t xml:space="preserve">Storingsdienst </t>
  </si>
  <si>
    <t xml:space="preserve">E  inspectie </t>
  </si>
  <si>
    <t>Belasten loadbank</t>
  </si>
  <si>
    <t>Smeerolie analyse</t>
  </si>
  <si>
    <t xml:space="preserve">Brandstofanalyse </t>
  </si>
  <si>
    <t xml:space="preserve">Koelmedium analyse </t>
  </si>
  <si>
    <t xml:space="preserve">Prijs per keer </t>
  </si>
  <si>
    <t xml:space="preserve">Waterslangen </t>
  </si>
  <si>
    <t xml:space="preserve">Accu's </t>
  </si>
  <si>
    <t xml:space="preserve">Injectoren </t>
  </si>
  <si>
    <t xml:space="preserve">Partiele revisie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</si>
</sst>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44" fontId="0" fillId="0" borderId="0" xfId="2" applyFont="1"/>
    <xf numFmtId="1" fontId="0" fillId="0" borderId="0" xfId="1" applyNumberFormat="1" applyFont="1"/>
    <xf numFmtId="1" fontId="0" fillId="0" borderId="0" xfId="1" applyNumberFormat="1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2" applyFont="1" applyBorder="1"/>
    <xf numFmtId="0" fontId="2" fillId="0" borderId="0" xfId="0" applyFont="1" applyAlignment="1">
      <alignment horizontal="left"/>
    </xf>
    <xf numFmtId="0" fontId="2" fillId="0" borderId="0" xfId="0" applyFont="1"/>
    <xf numFmtId="44" fontId="2" fillId="0" borderId="0" xfId="2" applyFont="1"/>
    <xf numFmtId="44" fontId="2" fillId="0" borderId="0" xfId="0" applyNumberFormat="1" applyFont="1"/>
    <xf numFmtId="0" fontId="0" fillId="0" borderId="2" xfId="0" applyBorder="1"/>
    <xf numFmtId="44" fontId="0" fillId="0" borderId="2" xfId="2" applyFont="1" applyBorder="1"/>
    <xf numFmtId="1" fontId="2" fillId="0" borderId="1" xfId="1" applyNumberFormat="1" applyFont="1" applyBorder="1"/>
    <xf numFmtId="1" fontId="2" fillId="0" borderId="1" xfId="1" applyNumberFormat="1" applyFont="1" applyBorder="1" applyAlignment="1">
      <alignment horizontal="center"/>
    </xf>
    <xf numFmtId="44" fontId="0" fillId="0" borderId="1" xfId="0" applyNumberFormat="1" applyBorder="1"/>
  </cellXfs>
  <cellStyles count="3">
    <cellStyle name="Komma" xfId="1" builtinId="3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3413-936D-4379-B832-F45DCFD12D15}">
  <dimension ref="A1:AC20"/>
  <sheetViews>
    <sheetView tabSelected="1" workbookViewId="0">
      <selection activeCell="D23" sqref="D23"/>
    </sheetView>
  </sheetViews>
  <sheetFormatPr defaultRowHeight="14.4" x14ac:dyDescent="0.3"/>
  <cols>
    <col min="1" max="1" width="10.44140625" customWidth="1"/>
    <col min="2" max="2" width="10.6640625" style="1" bestFit="1" customWidth="1"/>
    <col min="3" max="3" width="19.77734375" bestFit="1" customWidth="1"/>
    <col min="4" max="4" width="5" bestFit="1" customWidth="1"/>
    <col min="5" max="5" width="12.21875" style="2" bestFit="1" customWidth="1"/>
    <col min="6" max="7" width="10.109375" style="2" bestFit="1" customWidth="1"/>
    <col min="8" max="8" width="10.109375" bestFit="1" customWidth="1"/>
    <col min="9" max="9" width="11.109375" bestFit="1" customWidth="1"/>
    <col min="10" max="12" width="10.109375" bestFit="1" customWidth="1"/>
    <col min="13" max="13" width="11.109375" bestFit="1" customWidth="1"/>
    <col min="14" max="16" width="10.109375" bestFit="1" customWidth="1"/>
    <col min="17" max="17" width="11.109375" bestFit="1" customWidth="1"/>
    <col min="18" max="20" width="10.109375" bestFit="1" customWidth="1"/>
    <col min="21" max="21" width="11.109375" bestFit="1" customWidth="1"/>
    <col min="22" max="24" width="10.109375" bestFit="1" customWidth="1"/>
    <col min="25" max="25" width="11.109375" bestFit="1" customWidth="1"/>
    <col min="26" max="29" width="10.109375" bestFit="1" customWidth="1"/>
  </cols>
  <sheetData>
    <row r="1" spans="1:29" s="3" customFormat="1" x14ac:dyDescent="0.3">
      <c r="B1" s="4"/>
    </row>
    <row r="2" spans="1:29" x14ac:dyDescent="0.3">
      <c r="A2" s="5" t="s">
        <v>0</v>
      </c>
      <c r="B2" s="6" t="s">
        <v>4</v>
      </c>
    </row>
    <row r="3" spans="1:29" x14ac:dyDescent="0.3">
      <c r="A3" s="5" t="s">
        <v>1</v>
      </c>
      <c r="B3" s="6" t="s">
        <v>5</v>
      </c>
    </row>
    <row r="4" spans="1:29" x14ac:dyDescent="0.3">
      <c r="A4" s="5" t="s">
        <v>2</v>
      </c>
      <c r="B4" s="6">
        <v>700</v>
      </c>
    </row>
    <row r="5" spans="1:29" x14ac:dyDescent="0.3">
      <c r="A5" s="5" t="s">
        <v>3</v>
      </c>
      <c r="B5" s="6">
        <v>1986</v>
      </c>
      <c r="D5" s="14" t="s">
        <v>11</v>
      </c>
      <c r="E5" s="14" t="s">
        <v>18</v>
      </c>
      <c r="F5" s="15" t="s">
        <v>6</v>
      </c>
      <c r="G5" s="15">
        <v>2</v>
      </c>
      <c r="H5" s="15">
        <v>3</v>
      </c>
      <c r="I5" s="15">
        <v>4</v>
      </c>
      <c r="J5" s="15">
        <v>5</v>
      </c>
      <c r="K5" s="15">
        <v>6</v>
      </c>
      <c r="L5" s="15">
        <v>7</v>
      </c>
      <c r="M5" s="15">
        <v>8</v>
      </c>
      <c r="N5" s="15">
        <v>9</v>
      </c>
      <c r="O5" s="15">
        <v>10</v>
      </c>
      <c r="P5" s="15">
        <v>11</v>
      </c>
      <c r="Q5" s="15">
        <v>12</v>
      </c>
      <c r="R5" s="15">
        <v>13</v>
      </c>
      <c r="S5" s="15">
        <v>14</v>
      </c>
      <c r="T5" s="15">
        <v>15</v>
      </c>
      <c r="U5" s="15">
        <v>16</v>
      </c>
      <c r="V5" s="15">
        <v>17</v>
      </c>
      <c r="W5" s="15">
        <v>18</v>
      </c>
      <c r="X5" s="15">
        <v>19</v>
      </c>
      <c r="Y5" s="15">
        <v>20</v>
      </c>
    </row>
    <row r="6" spans="1:29" x14ac:dyDescent="0.3">
      <c r="C6" s="5" t="s">
        <v>9</v>
      </c>
      <c r="D6" s="12">
        <v>1</v>
      </c>
      <c r="E6" s="13">
        <v>980</v>
      </c>
      <c r="F6" s="7">
        <f>D6*E6</f>
        <v>980</v>
      </c>
      <c r="G6" s="7">
        <f>F6</f>
        <v>980</v>
      </c>
      <c r="H6" s="16">
        <f>F6</f>
        <v>980</v>
      </c>
      <c r="I6" s="16">
        <f>F6</f>
        <v>980</v>
      </c>
      <c r="J6" s="16">
        <f>F6</f>
        <v>980</v>
      </c>
      <c r="K6" s="16">
        <f>G6</f>
        <v>980</v>
      </c>
      <c r="L6" s="16">
        <f>H6</f>
        <v>980</v>
      </c>
      <c r="M6" s="16">
        <f>I6</f>
        <v>980</v>
      </c>
      <c r="N6" s="7">
        <v>980</v>
      </c>
      <c r="O6" s="7">
        <v>980</v>
      </c>
      <c r="P6" s="7">
        <v>980</v>
      </c>
      <c r="Q6" s="7">
        <v>980</v>
      </c>
      <c r="R6" s="7">
        <v>980</v>
      </c>
      <c r="S6" s="7">
        <v>980</v>
      </c>
      <c r="T6" s="7">
        <v>980</v>
      </c>
      <c r="U6" s="7">
        <v>980</v>
      </c>
      <c r="V6" s="7">
        <v>980</v>
      </c>
      <c r="W6" s="7">
        <v>980</v>
      </c>
      <c r="X6" s="7">
        <v>980</v>
      </c>
      <c r="Y6" s="7">
        <v>980</v>
      </c>
      <c r="Z6" s="2"/>
      <c r="AA6" s="2"/>
      <c r="AB6" s="2"/>
      <c r="AC6" s="2"/>
    </row>
    <row r="7" spans="1:29" x14ac:dyDescent="0.3">
      <c r="C7" s="5" t="s">
        <v>7</v>
      </c>
      <c r="D7" s="5">
        <v>1</v>
      </c>
      <c r="E7" s="7">
        <v>1350</v>
      </c>
      <c r="F7" s="7">
        <f t="shared" ref="F7:F15" si="0">D7*E7</f>
        <v>1350</v>
      </c>
      <c r="G7" s="7">
        <f t="shared" ref="G7:G17" si="1">F7</f>
        <v>1350</v>
      </c>
      <c r="H7" s="16">
        <f t="shared" ref="H7:H16" si="2">F7</f>
        <v>1350</v>
      </c>
      <c r="I7" s="16">
        <f t="shared" ref="I7:I15" si="3">F7</f>
        <v>1350</v>
      </c>
      <c r="J7" s="16">
        <f>F7</f>
        <v>1350</v>
      </c>
      <c r="K7" s="16">
        <f t="shared" ref="K7:K18" si="4">G7</f>
        <v>1350</v>
      </c>
      <c r="L7" s="16">
        <f t="shared" ref="L7:L18" si="5">H7</f>
        <v>1350</v>
      </c>
      <c r="M7" s="16">
        <f t="shared" ref="M7:M18" si="6">I7</f>
        <v>1350</v>
      </c>
      <c r="N7" s="7">
        <v>1350</v>
      </c>
      <c r="O7" s="7">
        <v>1350</v>
      </c>
      <c r="P7" s="7">
        <v>1350</v>
      </c>
      <c r="Q7" s="7">
        <v>1350</v>
      </c>
      <c r="R7" s="7">
        <v>1350</v>
      </c>
      <c r="S7" s="7">
        <v>1350</v>
      </c>
      <c r="T7" s="7">
        <v>1350</v>
      </c>
      <c r="U7" s="7">
        <v>1350</v>
      </c>
      <c r="V7" s="7">
        <v>1350</v>
      </c>
      <c r="W7" s="7">
        <v>1350</v>
      </c>
      <c r="X7" s="7">
        <v>1350</v>
      </c>
      <c r="Y7" s="7">
        <v>1350</v>
      </c>
      <c r="Z7" s="2"/>
      <c r="AA7" s="2"/>
      <c r="AB7" s="2"/>
      <c r="AC7" s="2"/>
    </row>
    <row r="8" spans="1:29" x14ac:dyDescent="0.3">
      <c r="C8" s="5" t="s">
        <v>8</v>
      </c>
      <c r="D8" s="5">
        <v>11</v>
      </c>
      <c r="E8" s="7">
        <v>350</v>
      </c>
      <c r="F8" s="7">
        <f t="shared" si="0"/>
        <v>3850</v>
      </c>
      <c r="G8" s="7">
        <f t="shared" si="1"/>
        <v>3850</v>
      </c>
      <c r="H8" s="16">
        <f t="shared" si="2"/>
        <v>3850</v>
      </c>
      <c r="I8" s="16">
        <f t="shared" si="3"/>
        <v>3850</v>
      </c>
      <c r="J8" s="16">
        <f t="shared" ref="J8:J18" si="7">F8</f>
        <v>3850</v>
      </c>
      <c r="K8" s="16">
        <f t="shared" si="4"/>
        <v>3850</v>
      </c>
      <c r="L8" s="16">
        <f t="shared" si="5"/>
        <v>3850</v>
      </c>
      <c r="M8" s="16">
        <f t="shared" si="6"/>
        <v>3850</v>
      </c>
      <c r="N8" s="7">
        <v>3850</v>
      </c>
      <c r="O8" s="7">
        <v>3850</v>
      </c>
      <c r="P8" s="7">
        <v>3850</v>
      </c>
      <c r="Q8" s="7">
        <v>3850</v>
      </c>
      <c r="R8" s="7">
        <v>3850</v>
      </c>
      <c r="S8" s="7">
        <v>3850</v>
      </c>
      <c r="T8" s="7">
        <v>3850</v>
      </c>
      <c r="U8" s="7">
        <v>3850</v>
      </c>
      <c r="V8" s="7">
        <v>3850</v>
      </c>
      <c r="W8" s="7">
        <v>3850</v>
      </c>
      <c r="X8" s="7">
        <v>3850</v>
      </c>
      <c r="Y8" s="7">
        <v>3850</v>
      </c>
      <c r="Z8" s="2"/>
      <c r="AA8" s="2"/>
      <c r="AB8" s="2"/>
      <c r="AC8" s="2"/>
    </row>
    <row r="9" spans="1:29" x14ac:dyDescent="0.3">
      <c r="C9" s="5" t="s">
        <v>10</v>
      </c>
      <c r="D9" s="5">
        <v>1</v>
      </c>
      <c r="E9" s="7">
        <v>305</v>
      </c>
      <c r="F9" s="7">
        <f t="shared" si="0"/>
        <v>305</v>
      </c>
      <c r="G9" s="7">
        <f t="shared" si="1"/>
        <v>305</v>
      </c>
      <c r="H9" s="16">
        <f t="shared" si="2"/>
        <v>305</v>
      </c>
      <c r="I9" s="16">
        <f t="shared" si="3"/>
        <v>305</v>
      </c>
      <c r="J9" s="16">
        <f t="shared" si="7"/>
        <v>305</v>
      </c>
      <c r="K9" s="16">
        <f t="shared" si="4"/>
        <v>305</v>
      </c>
      <c r="L9" s="16">
        <f t="shared" si="5"/>
        <v>305</v>
      </c>
      <c r="M9" s="16">
        <f t="shared" si="6"/>
        <v>305</v>
      </c>
      <c r="N9" s="7">
        <v>305</v>
      </c>
      <c r="O9" s="7">
        <v>305</v>
      </c>
      <c r="P9" s="7">
        <v>305</v>
      </c>
      <c r="Q9" s="7">
        <v>305</v>
      </c>
      <c r="R9" s="7">
        <v>305</v>
      </c>
      <c r="S9" s="7">
        <v>305</v>
      </c>
      <c r="T9" s="7">
        <v>305</v>
      </c>
      <c r="U9" s="7">
        <v>305</v>
      </c>
      <c r="V9" s="7">
        <v>305</v>
      </c>
      <c r="W9" s="7">
        <v>305</v>
      </c>
      <c r="X9" s="7">
        <v>305</v>
      </c>
      <c r="Y9" s="7">
        <v>305</v>
      </c>
      <c r="Z9" s="2"/>
      <c r="AA9" s="2"/>
      <c r="AB9" s="2"/>
      <c r="AC9" s="2"/>
    </row>
    <row r="10" spans="1:29" x14ac:dyDescent="0.3">
      <c r="C10" s="5" t="s">
        <v>15</v>
      </c>
      <c r="D10" s="5">
        <v>1</v>
      </c>
      <c r="E10" s="7">
        <v>125</v>
      </c>
      <c r="F10" s="7">
        <f t="shared" si="0"/>
        <v>125</v>
      </c>
      <c r="G10" s="7">
        <f t="shared" si="1"/>
        <v>125</v>
      </c>
      <c r="H10" s="16">
        <f t="shared" si="2"/>
        <v>125</v>
      </c>
      <c r="I10" s="16">
        <f t="shared" si="3"/>
        <v>125</v>
      </c>
      <c r="J10" s="16">
        <f t="shared" si="7"/>
        <v>125</v>
      </c>
      <c r="K10" s="16">
        <f t="shared" si="4"/>
        <v>125</v>
      </c>
      <c r="L10" s="16">
        <f t="shared" si="5"/>
        <v>125</v>
      </c>
      <c r="M10" s="16">
        <f t="shared" si="6"/>
        <v>125</v>
      </c>
      <c r="N10" s="7">
        <v>125</v>
      </c>
      <c r="O10" s="7">
        <v>125</v>
      </c>
      <c r="P10" s="7">
        <v>125</v>
      </c>
      <c r="Q10" s="7">
        <v>125</v>
      </c>
      <c r="R10" s="7">
        <v>125</v>
      </c>
      <c r="S10" s="7">
        <v>125</v>
      </c>
      <c r="T10" s="7">
        <v>125</v>
      </c>
      <c r="U10" s="7">
        <v>125</v>
      </c>
      <c r="V10" s="7">
        <v>125</v>
      </c>
      <c r="W10" s="7">
        <v>125</v>
      </c>
      <c r="X10" s="7">
        <v>125</v>
      </c>
      <c r="Y10" s="7">
        <v>125</v>
      </c>
      <c r="Z10" s="2"/>
      <c r="AA10" s="2"/>
      <c r="AB10" s="2"/>
      <c r="AC10" s="2"/>
    </row>
    <row r="11" spans="1:29" x14ac:dyDescent="0.3">
      <c r="C11" s="5" t="s">
        <v>16</v>
      </c>
      <c r="D11" s="5">
        <v>1</v>
      </c>
      <c r="E11" s="7">
        <v>235</v>
      </c>
      <c r="F11" s="7">
        <f t="shared" si="0"/>
        <v>235</v>
      </c>
      <c r="G11" s="7">
        <f t="shared" si="1"/>
        <v>235</v>
      </c>
      <c r="H11" s="16">
        <f t="shared" si="2"/>
        <v>235</v>
      </c>
      <c r="I11" s="16">
        <f t="shared" si="3"/>
        <v>235</v>
      </c>
      <c r="J11" s="16">
        <f t="shared" si="7"/>
        <v>235</v>
      </c>
      <c r="K11" s="16">
        <f t="shared" si="4"/>
        <v>235</v>
      </c>
      <c r="L11" s="16">
        <f t="shared" si="5"/>
        <v>235</v>
      </c>
      <c r="M11" s="16">
        <f t="shared" si="6"/>
        <v>235</v>
      </c>
      <c r="N11" s="7">
        <v>235</v>
      </c>
      <c r="O11" s="7">
        <v>235</v>
      </c>
      <c r="P11" s="7">
        <v>235</v>
      </c>
      <c r="Q11" s="7">
        <v>235</v>
      </c>
      <c r="R11" s="7">
        <v>235</v>
      </c>
      <c r="S11" s="7">
        <v>235</v>
      </c>
      <c r="T11" s="7">
        <v>235</v>
      </c>
      <c r="U11" s="7">
        <v>235</v>
      </c>
      <c r="V11" s="7">
        <v>235</v>
      </c>
      <c r="W11" s="7">
        <v>235</v>
      </c>
      <c r="X11" s="7">
        <v>235</v>
      </c>
      <c r="Y11" s="7">
        <v>235</v>
      </c>
      <c r="Z11" s="2"/>
      <c r="AA11" s="2"/>
      <c r="AB11" s="2"/>
      <c r="AC11" s="2"/>
    </row>
    <row r="12" spans="1:29" x14ac:dyDescent="0.3">
      <c r="C12" s="5" t="s">
        <v>17</v>
      </c>
      <c r="D12" s="5">
        <v>1</v>
      </c>
      <c r="E12" s="7">
        <v>255</v>
      </c>
      <c r="F12" s="7">
        <f t="shared" si="0"/>
        <v>255</v>
      </c>
      <c r="G12" s="7">
        <f t="shared" si="1"/>
        <v>255</v>
      </c>
      <c r="H12" s="16">
        <f t="shared" si="2"/>
        <v>255</v>
      </c>
      <c r="I12" s="16">
        <f t="shared" si="3"/>
        <v>255</v>
      </c>
      <c r="J12" s="16">
        <f t="shared" si="7"/>
        <v>255</v>
      </c>
      <c r="K12" s="16">
        <f t="shared" si="4"/>
        <v>255</v>
      </c>
      <c r="L12" s="16">
        <f t="shared" si="5"/>
        <v>255</v>
      </c>
      <c r="M12" s="16">
        <f t="shared" si="6"/>
        <v>255</v>
      </c>
      <c r="N12" s="7">
        <v>255</v>
      </c>
      <c r="O12" s="7">
        <v>255</v>
      </c>
      <c r="P12" s="7">
        <v>255</v>
      </c>
      <c r="Q12" s="7">
        <v>255</v>
      </c>
      <c r="R12" s="7">
        <v>255</v>
      </c>
      <c r="S12" s="7">
        <v>255</v>
      </c>
      <c r="T12" s="7">
        <v>255</v>
      </c>
      <c r="U12" s="7">
        <v>255</v>
      </c>
      <c r="V12" s="7">
        <v>255</v>
      </c>
      <c r="W12" s="7">
        <v>255</v>
      </c>
      <c r="X12" s="7">
        <v>255</v>
      </c>
      <c r="Y12" s="7">
        <v>255</v>
      </c>
      <c r="Z12" s="2"/>
      <c r="AA12" s="2"/>
      <c r="AB12" s="2"/>
      <c r="AC12" s="2"/>
    </row>
    <row r="13" spans="1:29" x14ac:dyDescent="0.3">
      <c r="C13" s="5" t="s">
        <v>12</v>
      </c>
      <c r="D13" s="5">
        <v>1</v>
      </c>
      <c r="E13" s="7">
        <v>440</v>
      </c>
      <c r="F13" s="7">
        <f t="shared" si="0"/>
        <v>440</v>
      </c>
      <c r="G13" s="7">
        <f t="shared" si="1"/>
        <v>440</v>
      </c>
      <c r="H13" s="16">
        <f t="shared" si="2"/>
        <v>440</v>
      </c>
      <c r="I13" s="16">
        <f t="shared" si="3"/>
        <v>440</v>
      </c>
      <c r="J13" s="16">
        <f t="shared" si="7"/>
        <v>440</v>
      </c>
      <c r="K13" s="16">
        <f t="shared" si="4"/>
        <v>440</v>
      </c>
      <c r="L13" s="16">
        <f t="shared" si="5"/>
        <v>440</v>
      </c>
      <c r="M13" s="16">
        <f t="shared" si="6"/>
        <v>440</v>
      </c>
      <c r="N13" s="7">
        <v>440</v>
      </c>
      <c r="O13" s="7">
        <v>440</v>
      </c>
      <c r="P13" s="7">
        <v>440</v>
      </c>
      <c r="Q13" s="7">
        <v>440</v>
      </c>
      <c r="R13" s="7">
        <v>440</v>
      </c>
      <c r="S13" s="7">
        <v>440</v>
      </c>
      <c r="T13" s="7">
        <v>440</v>
      </c>
      <c r="U13" s="7">
        <v>440</v>
      </c>
      <c r="V13" s="7">
        <v>440</v>
      </c>
      <c r="W13" s="7">
        <v>440</v>
      </c>
      <c r="X13" s="7">
        <v>440</v>
      </c>
      <c r="Y13" s="7">
        <v>440</v>
      </c>
      <c r="Z13" s="2"/>
      <c r="AA13" s="2"/>
      <c r="AB13" s="2"/>
      <c r="AC13" s="2"/>
    </row>
    <row r="14" spans="1:29" x14ac:dyDescent="0.3">
      <c r="C14" s="5" t="s">
        <v>14</v>
      </c>
      <c r="D14" s="5">
        <v>1</v>
      </c>
      <c r="E14" s="7">
        <v>850</v>
      </c>
      <c r="F14" s="7">
        <f t="shared" si="0"/>
        <v>850</v>
      </c>
      <c r="G14" s="7">
        <f t="shared" si="1"/>
        <v>850</v>
      </c>
      <c r="H14" s="16">
        <f t="shared" si="2"/>
        <v>850</v>
      </c>
      <c r="I14" s="16">
        <f t="shared" si="3"/>
        <v>850</v>
      </c>
      <c r="J14" s="16">
        <f t="shared" si="7"/>
        <v>850</v>
      </c>
      <c r="K14" s="16">
        <f t="shared" si="4"/>
        <v>850</v>
      </c>
      <c r="L14" s="16">
        <f t="shared" si="5"/>
        <v>850</v>
      </c>
      <c r="M14" s="16">
        <f t="shared" si="6"/>
        <v>850</v>
      </c>
      <c r="N14" s="7">
        <v>850</v>
      </c>
      <c r="O14" s="7">
        <v>850</v>
      </c>
      <c r="P14" s="7">
        <v>850</v>
      </c>
      <c r="Q14" s="7">
        <v>850</v>
      </c>
      <c r="R14" s="7">
        <v>850</v>
      </c>
      <c r="S14" s="7">
        <v>850</v>
      </c>
      <c r="T14" s="7">
        <v>850</v>
      </c>
      <c r="U14" s="7">
        <v>850</v>
      </c>
      <c r="V14" s="7">
        <v>850</v>
      </c>
      <c r="W14" s="7">
        <v>850</v>
      </c>
      <c r="X14" s="7">
        <v>850</v>
      </c>
      <c r="Y14" s="7">
        <v>850</v>
      </c>
      <c r="Z14" s="2"/>
      <c r="AA14" s="2"/>
      <c r="AB14" s="2"/>
      <c r="AC14" s="2"/>
    </row>
    <row r="15" spans="1:29" x14ac:dyDescent="0.3">
      <c r="C15" s="5" t="s">
        <v>13</v>
      </c>
      <c r="D15" s="5">
        <v>0.25</v>
      </c>
      <c r="E15" s="7">
        <v>1200</v>
      </c>
      <c r="F15" s="7">
        <v>0</v>
      </c>
      <c r="G15" s="7">
        <f t="shared" si="1"/>
        <v>0</v>
      </c>
      <c r="H15" s="16">
        <f t="shared" si="2"/>
        <v>0</v>
      </c>
      <c r="I15" s="16">
        <f>E15</f>
        <v>1200</v>
      </c>
      <c r="J15" s="16">
        <f t="shared" si="7"/>
        <v>0</v>
      </c>
      <c r="K15" s="16">
        <f t="shared" si="4"/>
        <v>0</v>
      </c>
      <c r="L15" s="16">
        <f t="shared" si="5"/>
        <v>0</v>
      </c>
      <c r="M15" s="16">
        <f t="shared" si="6"/>
        <v>1200</v>
      </c>
      <c r="N15" s="7">
        <v>0</v>
      </c>
      <c r="O15" s="7">
        <v>0</v>
      </c>
      <c r="P15" s="7">
        <v>0</v>
      </c>
      <c r="Q15" s="7">
        <v>1200</v>
      </c>
      <c r="R15" s="7">
        <v>0</v>
      </c>
      <c r="S15" s="7">
        <v>0</v>
      </c>
      <c r="T15" s="7">
        <v>0</v>
      </c>
      <c r="U15" s="7">
        <v>1200</v>
      </c>
      <c r="V15" s="7">
        <v>0</v>
      </c>
      <c r="W15" s="7">
        <v>0</v>
      </c>
      <c r="X15" s="7">
        <v>0</v>
      </c>
      <c r="Y15" s="7">
        <v>1200</v>
      </c>
      <c r="Z15" s="2"/>
      <c r="AA15" s="2"/>
      <c r="AB15" s="2"/>
      <c r="AC15" s="2"/>
    </row>
    <row r="16" spans="1:29" x14ac:dyDescent="0.3">
      <c r="C16" s="5" t="s">
        <v>19</v>
      </c>
      <c r="D16" s="5">
        <v>0.25</v>
      </c>
      <c r="E16" s="7">
        <v>2580</v>
      </c>
      <c r="F16" s="7">
        <v>0</v>
      </c>
      <c r="G16" s="7">
        <v>0</v>
      </c>
      <c r="H16" s="16">
        <f t="shared" si="2"/>
        <v>0</v>
      </c>
      <c r="I16" s="16">
        <f>E16</f>
        <v>2580</v>
      </c>
      <c r="J16" s="16">
        <f t="shared" si="7"/>
        <v>0</v>
      </c>
      <c r="K16" s="16">
        <f t="shared" si="4"/>
        <v>0</v>
      </c>
      <c r="L16" s="16">
        <f t="shared" si="5"/>
        <v>0</v>
      </c>
      <c r="M16" s="16">
        <f t="shared" si="6"/>
        <v>2580</v>
      </c>
      <c r="N16" s="7">
        <v>0</v>
      </c>
      <c r="O16" s="7">
        <v>0</v>
      </c>
      <c r="P16" s="7">
        <v>0</v>
      </c>
      <c r="Q16" s="7">
        <v>2580</v>
      </c>
      <c r="R16" s="7">
        <v>0</v>
      </c>
      <c r="S16" s="7">
        <v>0</v>
      </c>
      <c r="T16" s="7">
        <v>0</v>
      </c>
      <c r="U16" s="7">
        <v>2580</v>
      </c>
      <c r="V16" s="7">
        <v>0</v>
      </c>
      <c r="W16" s="7">
        <v>0</v>
      </c>
      <c r="X16" s="7">
        <v>0</v>
      </c>
      <c r="Y16" s="7">
        <v>2580</v>
      </c>
      <c r="Z16" s="2"/>
      <c r="AA16" s="2"/>
      <c r="AB16" s="2"/>
      <c r="AC16" s="2"/>
    </row>
    <row r="17" spans="2:29" x14ac:dyDescent="0.3">
      <c r="C17" s="5" t="s">
        <v>20</v>
      </c>
      <c r="D17" s="5">
        <v>0.25</v>
      </c>
      <c r="E17" s="7">
        <v>1260</v>
      </c>
      <c r="F17" s="7">
        <v>0</v>
      </c>
      <c r="G17" s="7">
        <v>0</v>
      </c>
      <c r="H17" s="7">
        <v>0</v>
      </c>
      <c r="I17" s="16">
        <f>E17</f>
        <v>1260</v>
      </c>
      <c r="J17" s="16">
        <f t="shared" si="7"/>
        <v>0</v>
      </c>
      <c r="K17" s="16">
        <f t="shared" si="4"/>
        <v>0</v>
      </c>
      <c r="L17" s="16">
        <f t="shared" si="5"/>
        <v>0</v>
      </c>
      <c r="M17" s="16">
        <f t="shared" si="6"/>
        <v>1260</v>
      </c>
      <c r="N17" s="7">
        <v>0</v>
      </c>
      <c r="O17" s="7">
        <v>0</v>
      </c>
      <c r="P17" s="7">
        <v>0</v>
      </c>
      <c r="Q17" s="7">
        <v>1260</v>
      </c>
      <c r="R17" s="7">
        <v>0</v>
      </c>
      <c r="S17" s="7">
        <v>0</v>
      </c>
      <c r="T17" s="7">
        <v>0</v>
      </c>
      <c r="U17" s="7">
        <v>1260</v>
      </c>
      <c r="V17" s="7">
        <v>0</v>
      </c>
      <c r="W17" s="7">
        <v>0</v>
      </c>
      <c r="X17" s="7">
        <v>0</v>
      </c>
      <c r="Y17" s="7">
        <v>1260</v>
      </c>
      <c r="Z17" s="2"/>
      <c r="AA17" s="2"/>
      <c r="AB17" s="2"/>
      <c r="AC17" s="2"/>
    </row>
    <row r="18" spans="2:29" x14ac:dyDescent="0.3">
      <c r="C18" s="5" t="s">
        <v>21</v>
      </c>
      <c r="D18" s="5">
        <v>0.15</v>
      </c>
      <c r="E18" s="7">
        <v>6000</v>
      </c>
      <c r="F18" s="7">
        <v>0</v>
      </c>
      <c r="G18" s="7">
        <v>0</v>
      </c>
      <c r="H18" s="16">
        <v>0</v>
      </c>
      <c r="I18" s="16">
        <v>0</v>
      </c>
      <c r="J18" s="16">
        <f t="shared" si="7"/>
        <v>0</v>
      </c>
      <c r="K18" s="16">
        <v>0</v>
      </c>
      <c r="L18" s="16">
        <f t="shared" si="5"/>
        <v>0</v>
      </c>
      <c r="M18" s="16">
        <f>E18</f>
        <v>6000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6000</v>
      </c>
      <c r="V18" s="7">
        <v>0</v>
      </c>
      <c r="W18" s="7">
        <v>0</v>
      </c>
      <c r="X18" s="7">
        <v>0</v>
      </c>
      <c r="Y18" s="7">
        <v>0</v>
      </c>
      <c r="Z18" s="2"/>
      <c r="AA18" s="2"/>
      <c r="AB18" s="2"/>
      <c r="AC18" s="2"/>
    </row>
    <row r="19" spans="2:29" x14ac:dyDescent="0.3">
      <c r="C19" s="5" t="s">
        <v>22</v>
      </c>
      <c r="D19" s="5">
        <v>0.5</v>
      </c>
      <c r="E19" s="7">
        <v>60000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16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60000</v>
      </c>
      <c r="Z19" s="2"/>
      <c r="AA19" s="2"/>
      <c r="AB19" s="2"/>
      <c r="AC19" s="2"/>
    </row>
    <row r="20" spans="2:29" s="9" customFormat="1" x14ac:dyDescent="0.3">
      <c r="B20" s="8"/>
      <c r="E20" s="10"/>
      <c r="F20" s="10">
        <f>SUM(F6:F19)</f>
        <v>8390</v>
      </c>
      <c r="G20" s="10">
        <f>SUM(G6:G19)</f>
        <v>8390</v>
      </c>
      <c r="H20" s="11">
        <f>SUM(H6:H19)</f>
        <v>8390</v>
      </c>
      <c r="I20" s="11">
        <f>SUM(I6:I19)</f>
        <v>13430</v>
      </c>
      <c r="J20" s="11">
        <f>SUM(J6:J19)</f>
        <v>8390</v>
      </c>
      <c r="K20" s="11">
        <f>SUM(K6:K19)</f>
        <v>8390</v>
      </c>
      <c r="L20" s="11">
        <f>SUM(L6:L19)</f>
        <v>8390</v>
      </c>
      <c r="M20" s="11">
        <f>SUM(M6:M19)</f>
        <v>19430</v>
      </c>
      <c r="N20" s="11">
        <f>SUM(N6:N19)</f>
        <v>8390</v>
      </c>
      <c r="O20" s="11">
        <f>SUM(O6:O19)</f>
        <v>8390</v>
      </c>
      <c r="P20" s="11">
        <f>SUM(P6:P19)</f>
        <v>8390</v>
      </c>
      <c r="Q20" s="11">
        <f>SUM(Q6:Q19)</f>
        <v>13430</v>
      </c>
      <c r="R20" s="11">
        <f>SUM(R6:R19)</f>
        <v>8390</v>
      </c>
      <c r="S20" s="11">
        <f>SUM(S6:S19)</f>
        <v>8390</v>
      </c>
      <c r="T20" s="11">
        <f>SUM(T6:T19)</f>
        <v>8390</v>
      </c>
      <c r="U20" s="11">
        <f>SUM(U6:U19)</f>
        <v>19430</v>
      </c>
      <c r="V20" s="11">
        <f>SUM(V6:V19)</f>
        <v>8390</v>
      </c>
      <c r="W20" s="11">
        <f>SUM(W6:W19)</f>
        <v>8390</v>
      </c>
      <c r="X20" s="11">
        <f>SUM(X6:X19)</f>
        <v>8390</v>
      </c>
      <c r="Y20" s="11">
        <f>SUM(Y6:Y19)</f>
        <v>73430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Eeuwijk</dc:creator>
  <cp:lastModifiedBy>Jeroen Eeuwijk</cp:lastModifiedBy>
  <dcterms:created xsi:type="dcterms:W3CDTF">2026-06-03T16:05:07Z</dcterms:created>
  <dcterms:modified xsi:type="dcterms:W3CDTF">2026-06-03T16:26:31Z</dcterms:modified>
</cp:coreProperties>
</file>